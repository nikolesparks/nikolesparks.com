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ywords" sheetId="1" state="visible" r:id="rId3"/>
    <sheet name="Notes" sheetId="2" state="visible" r:id="rId4"/>
  </sheets>
  <definedNames>
    <definedName function="false" hidden="true" localSheetId="0" name="_xlnm._FilterDatabase" vbProcedure="false">Keywords!$A$1:$G$100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<sst xmlns="http://schemas.openxmlformats.org/spreadsheetml/2006/main" count="417" uniqueCount="178">
  <si>
    <t xml:space="preserve">Cluster</t>
  </si>
  <si>
    <t xml:space="preserve">Keyword</t>
  </si>
  <si>
    <t xml:space="preserve">Volume (US/mo)</t>
  </si>
  <si>
    <t xml:space="preserve">Difficulty (0-100)</t>
  </si>
  <si>
    <t xml:space="preserve">Intent</t>
  </si>
  <si>
    <t xml:space="preserve">Maps to</t>
  </si>
  <si>
    <t xml:space="preserve">Opportunity score</t>
  </si>
  <si>
    <t xml:space="preserve">Self-esteem &amp; self-worth</t>
  </si>
  <si>
    <t xml:space="preserve">self esteem</t>
  </si>
  <si>
    <t xml:space="preserve">informational</t>
  </si>
  <si>
    <t xml:space="preserve">skip: dictionary/Wikipedia SERP</t>
  </si>
  <si>
    <t xml:space="preserve">self worth</t>
  </si>
  <si>
    <t xml:space="preserve">long-term target</t>
  </si>
  <si>
    <t xml:space="preserve">self image</t>
  </si>
  <si>
    <t xml:space="preserve">winnable</t>
  </si>
  <si>
    <t xml:space="preserve">self esteem vs self worth</t>
  </si>
  <si>
    <t xml:space="preserve">TARGETED: Self-Esteem vs. Self-Worth</t>
  </si>
  <si>
    <t xml:space="preserve">self image vs self esteem</t>
  </si>
  <si>
    <t xml:space="preserve">Individual / depth therapy</t>
  </si>
  <si>
    <t xml:space="preserve">psychodynamic therapy therapy</t>
  </si>
  <si>
    <t xml:space="preserve">/services/individual-therapy/</t>
  </si>
  <si>
    <t xml:space="preserve">psychodynamic theory therapy</t>
  </si>
  <si>
    <t xml:space="preserve">avoidant attachment treatment</t>
  </si>
  <si>
    <t xml:space="preserve">BIG WIN: attachment post expansion</t>
  </si>
  <si>
    <t xml:space="preserve">attachment based therapy</t>
  </si>
  <si>
    <t xml:space="preserve">insight therapy</t>
  </si>
  <si>
    <t xml:space="preserve">Insight Isn't the Finish Line</t>
  </si>
  <si>
    <t xml:space="preserve">countertransference in therapy</t>
  </si>
  <si>
    <t xml:space="preserve">depth-session post</t>
  </si>
  <si>
    <t xml:space="preserve">does therapy actually work</t>
  </si>
  <si>
    <t xml:space="preserve">TARGETED: How Do You Know Therapy Is Working?</t>
  </si>
  <si>
    <t xml:space="preserve">do i need therapy</t>
  </si>
  <si>
    <t xml:space="preserve">unclaimed</t>
  </si>
  <si>
    <t xml:space="preserve">therapy works</t>
  </si>
  <si>
    <t xml:space="preserve">How Do You Know Therapy Is Working?</t>
  </si>
  <si>
    <t xml:space="preserve">what to talk about in therapy</t>
  </si>
  <si>
    <t xml:space="preserve">unclaimed: strong first-session post</t>
  </si>
  <si>
    <t xml:space="preserve">things to talk about in therapy</t>
  </si>
  <si>
    <t xml:space="preserve">how to start therapy</t>
  </si>
  <si>
    <t xml:space="preserve">how to afford therapy</t>
  </si>
  <si>
    <t xml:space="preserve">FAQ page</t>
  </si>
  <si>
    <t xml:space="preserve">Therapist-for pattern</t>
  </si>
  <si>
    <t xml:space="preserve">therapist relationship issues</t>
  </si>
  <si>
    <t xml:space="preserve">/services/couples-therapy/</t>
  </si>
  <si>
    <t xml:space="preserve">therapist for relationship problems</t>
  </si>
  <si>
    <t xml:space="preserve">commercial</t>
  </si>
  <si>
    <t xml:space="preserve">relationship problems therapy</t>
  </si>
  <si>
    <t xml:space="preserve">therapists for relationship issues</t>
  </si>
  <si>
    <t xml:space="preserve">relationship problems therapist</t>
  </si>
  <si>
    <t xml:space="preserve">therapist for sleep disorders</t>
  </si>
  <si>
    <t xml:space="preserve">anxiety-at-night post</t>
  </si>
  <si>
    <t xml:space="preserve">therapist for breakup</t>
  </si>
  <si>
    <t xml:space="preserve">unclaimed: breakup/grief post</t>
  </si>
  <si>
    <t xml:space="preserve">therapist for break up</t>
  </si>
  <si>
    <t xml:space="preserve">therapist stress management</t>
  </si>
  <si>
    <t xml:space="preserve">/services/therapy-for-anxiety/</t>
  </si>
  <si>
    <t xml:space="preserve">stress management therapists</t>
  </si>
  <si>
    <t xml:space="preserve">therapist for trauma bonding</t>
  </si>
  <si>
    <t xml:space="preserve">therapy for trauma bond</t>
  </si>
  <si>
    <t xml:space="preserve">therapist for people-pleasing</t>
  </si>
  <si>
    <t xml:space="preserve">unclaimed: high priority</t>
  </si>
  <si>
    <t xml:space="preserve">therapist for people pleasing</t>
  </si>
  <si>
    <t xml:space="preserve">Couples &amp; marriage</t>
  </si>
  <si>
    <t xml:space="preserve">couples therapy</t>
  </si>
  <si>
    <t xml:space="preserve">pillar, long-term</t>
  </si>
  <si>
    <t xml:space="preserve">relationship therapy</t>
  </si>
  <si>
    <t xml:space="preserve">relationship counseling</t>
  </si>
  <si>
    <t xml:space="preserve">couples counseling</t>
  </si>
  <si>
    <t xml:space="preserve">marriage therapy for infidelity</t>
  </si>
  <si>
    <t xml:space="preserve">unclaimed: infidelity post</t>
  </si>
  <si>
    <t xml:space="preserve">marriage counseling for infidelity</t>
  </si>
  <si>
    <t xml:space="preserve">couples counselors</t>
  </si>
  <si>
    <t xml:space="preserve">pillar</t>
  </si>
  <si>
    <t xml:space="preserve">couples counseling for relationship problems</t>
  </si>
  <si>
    <t xml:space="preserve">Do We Need Couples Therapy?</t>
  </si>
  <si>
    <t xml:space="preserve">marriage therapist</t>
  </si>
  <si>
    <t xml:space="preserve">couples therapy for relationship problems</t>
  </si>
  <si>
    <t xml:space="preserve">online couples therapy</t>
  </si>
  <si>
    <t xml:space="preserve">telehealth angle</t>
  </si>
  <si>
    <t xml:space="preserve">online marriage counseling</t>
  </si>
  <si>
    <t xml:space="preserve">couples therapy sexless marriage</t>
  </si>
  <si>
    <t xml:space="preserve">unclaimed niche</t>
  </si>
  <si>
    <t xml:space="preserve">does marriage counseling work</t>
  </si>
  <si>
    <t xml:space="preserve">AEO, unclaimed</t>
  </si>
  <si>
    <t xml:space="preserve">discernment couples counseling</t>
  </si>
  <si>
    <t xml:space="preserve">covered in rebuilt couples post</t>
  </si>
  <si>
    <t xml:space="preserve">marriage counseling questions</t>
  </si>
  <si>
    <t xml:space="preserve">couples therapy vs marriage counseling</t>
  </si>
  <si>
    <t xml:space="preserve">QUEUED: definitional post</t>
  </si>
  <si>
    <t xml:space="preserve">Premarital</t>
  </si>
  <si>
    <t xml:space="preserve">premarital counseling</t>
  </si>
  <si>
    <t xml:space="preserve">/services/premarital-counseling/</t>
  </si>
  <si>
    <t xml:space="preserve">pre marriage counseling</t>
  </si>
  <si>
    <t xml:space="preserve">premarital counseling questions</t>
  </si>
  <si>
    <t xml:space="preserve">unclaimed: best premarital target</t>
  </si>
  <si>
    <t xml:space="preserve">online premarital counseling</t>
  </si>
  <si>
    <t xml:space="preserve">premarital counseling workbook</t>
  </si>
  <si>
    <t xml:space="preserve">secondary</t>
  </si>
  <si>
    <t xml:space="preserve">prepare and enrich marriage counseling</t>
  </si>
  <si>
    <t xml:space="preserve">transactional</t>
  </si>
  <si>
    <t xml:space="preserve">Prepare &amp; Enrich post</t>
  </si>
  <si>
    <t xml:space="preserve">prepare enrich marriage assessment</t>
  </si>
  <si>
    <t xml:space="preserve">Anxiety</t>
  </si>
  <si>
    <t xml:space="preserve">anxiety treatment</t>
  </si>
  <si>
    <t xml:space="preserve">treatment for anxiety</t>
  </si>
  <si>
    <t xml:space="preserve">skip for now</t>
  </si>
  <si>
    <t xml:space="preserve">ocd therapy</t>
  </si>
  <si>
    <t xml:space="preserve">out of scope</t>
  </si>
  <si>
    <t xml:space="preserve">high functioning anxiety symptoms</t>
  </si>
  <si>
    <t xml:space="preserve">High-Functioning and Still Anxious</t>
  </si>
  <si>
    <t xml:space="preserve">high functioning anxiety disorder</t>
  </si>
  <si>
    <t xml:space="preserve">high functioning anxiety test</t>
  </si>
  <si>
    <t xml:space="preserve">high functioning stress</t>
  </si>
  <si>
    <t xml:space="preserve">Creatives</t>
  </si>
  <si>
    <t xml:space="preserve">imposter syndrome</t>
  </si>
  <si>
    <t xml:space="preserve">too broad; go long-tail</t>
  </si>
  <si>
    <t xml:space="preserve">impostor syndrome</t>
  </si>
  <si>
    <t xml:space="preserve">variant spelling</t>
  </si>
  <si>
    <t xml:space="preserve">perfectionism disorder</t>
  </si>
  <si>
    <t xml:space="preserve">Perfectionism post</t>
  </si>
  <si>
    <t xml:space="preserve">burnout</t>
  </si>
  <si>
    <t xml:space="preserve">skip: too competitive</t>
  </si>
  <si>
    <t xml:space="preserve">Faith-integrated</t>
  </si>
  <si>
    <t xml:space="preserve">christian meditation</t>
  </si>
  <si>
    <t xml:space="preserve">adjacent</t>
  </si>
  <si>
    <t xml:space="preserve">spiritual counseling</t>
  </si>
  <si>
    <t xml:space="preserve">unclaimed, fits spiritual direction credential</t>
  </si>
  <si>
    <t xml:space="preserve">faith recovery</t>
  </si>
  <si>
    <t xml:space="preserve">faith based recovery</t>
  </si>
  <si>
    <t xml:space="preserve">secular counseling</t>
  </si>
  <si>
    <t xml:space="preserve">contrast term</t>
  </si>
  <si>
    <t xml:space="preserve">faith based counseling online</t>
  </si>
  <si>
    <t xml:space="preserve">Religious trauma</t>
  </si>
  <si>
    <t xml:space="preserve">religious trauma reddit</t>
  </si>
  <si>
    <t xml:space="preserve">low volume, high intent</t>
  </si>
  <si>
    <t xml:space="preserve">bible verses for trauma</t>
  </si>
  <si>
    <t xml:space="preserve">trauma informed church</t>
  </si>
  <si>
    <t xml:space="preserve">god and trauma</t>
  </si>
  <si>
    <t xml:space="preserve">evangelical trauma</t>
  </si>
  <si>
    <t xml:space="preserve">Life transitions &amp; grief</t>
  </si>
  <si>
    <t xml:space="preserve">grief therapists</t>
  </si>
  <si>
    <t xml:space="preserve">Grief Doesn't Need Fixing (pos ~3)</t>
  </si>
  <si>
    <t xml:space="preserve">therapy for quarter-life crisis</t>
  </si>
  <si>
    <t xml:space="preserve">unclaimed: Therapy in Your 20s</t>
  </si>
  <si>
    <t xml:space="preserve">mid life crisis therapy</t>
  </si>
  <si>
    <t xml:space="preserve">quarter life crisis therapy</t>
  </si>
  <si>
    <t xml:space="preserve">Young adults</t>
  </si>
  <si>
    <t xml:space="preserve">Therapy in Your 20s</t>
  </si>
  <si>
    <t xml:space="preserve">first-therapy post</t>
  </si>
  <si>
    <t xml:space="preserve">Women / people-pleasing</t>
  </si>
  <si>
    <t xml:space="preserve">unclaimed: highest-value gap</t>
  </si>
  <si>
    <t xml:space="preserve">same post, variant</t>
  </si>
  <si>
    <t xml:space="preserve">people pleasing therapy worksheets</t>
  </si>
  <si>
    <t xml:space="preserve">skip: wrong intent for this practice</t>
  </si>
  <si>
    <t xml:space="preserve">Teens (parent-facing)</t>
  </si>
  <si>
    <t xml:space="preserve">counseling teens</t>
  </si>
  <si>
    <t xml:space="preserve">TARGETED: Therapy for Teens</t>
  </si>
  <si>
    <t xml:space="preserve">counselors for teens</t>
  </si>
  <si>
    <t xml:space="preserve">psychology near me for teens</t>
  </si>
  <si>
    <t xml:space="preserve">needs a teen service page</t>
  </si>
  <si>
    <t xml:space="preserve">psychology for teens near me</t>
  </si>
  <si>
    <t xml:space="preserve">teenager therapy online</t>
  </si>
  <si>
    <t xml:space="preserve">teens counselling</t>
  </si>
  <si>
    <t xml:space="preserve">counselling teenagers</t>
  </si>
  <si>
    <t xml:space="preserve">counseling for parents of teenagers</t>
  </si>
  <si>
    <t xml:space="preserve">exact audience match</t>
  </si>
  <si>
    <t xml:space="preserve">counselling for parents of teenagers</t>
  </si>
  <si>
    <t xml:space="preserve">Field</t>
  </si>
  <si>
    <t xml:space="preserve">Meaning</t>
  </si>
  <si>
    <t xml:space="preserve">Opinly estimated US monthly searches. Blank means Opinly returned no volume figure for that phrase, not zero demand.</t>
  </si>
  <si>
    <t xml:space="preserve">Difficulty</t>
  </si>
  <si>
    <t xml:space="preserve">Opinly 0-100 keyword difficulty. Under 15 is realistically winnable for a site of this size.</t>
  </si>
  <si>
    <t xml:space="preserve">Volume divided by (Difficulty + 1). A rough sort key, not a ranking prediction. Sort descending to find the best ratio of demand to competition.</t>
  </si>
  <si>
    <t xml:space="preserve">The page or post this keyword should support. 'unclaimed' means nothing on the site targets it yet.</t>
  </si>
  <si>
    <t xml:space="preserve">Source</t>
  </si>
  <si>
    <t xml:space="preserve">Opinly search_keywords, US national market, pulled 2026-09-13.</t>
  </si>
  <si>
    <t xml:space="preserve">Limitation</t>
  </si>
  <si>
    <t xml:space="preserve">Only the US national market is configured in Opinly for this account, so geo-modified terms (Newport Beach, Fullerton, Long Beach) return national noise rather than local volume. Use Google Search Console for local performance.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</si>
</sst>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5" min="4" style="0" width="14"/>
    <col collapsed="false" customWidth="true" hidden="false" outlineLevel="0" max="6" min="6" style="0" width="44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3" t="n">
        <v>60500</v>
      </c>
      <c r="D2" s="2" t="n">
        <v>59</v>
      </c>
      <c r="E2" s="2" t="s">
        <v>9</v>
      </c>
      <c r="F2" s="2" t="s">
        <v>10</v>
      </c>
      <c r="G2" s="2" t="n">
        <f aca="false">IF(OR(C2="",D2=""),"",ROUND(C2/(D2+1),0))</f>
        <v>1008</v>
      </c>
    </row>
    <row r="3" customFormat="false" ht="15" hidden="false" customHeight="false" outlineLevel="0" collapsed="false">
      <c r="A3" s="2" t="s">
        <v>7</v>
      </c>
      <c r="B3" s="2" t="s">
        <v>11</v>
      </c>
      <c r="C3" s="3" t="n">
        <v>9900</v>
      </c>
      <c r="D3" s="2" t="n">
        <v>35</v>
      </c>
      <c r="E3" s="2" t="s">
        <v>9</v>
      </c>
      <c r="F3" s="2" t="s">
        <v>12</v>
      </c>
      <c r="G3" s="2" t="n">
        <f aca="false">IF(OR(C3="",D3=""),"",ROUND(C3/(D3+1),0))</f>
        <v>275</v>
      </c>
    </row>
    <row r="4" customFormat="false" ht="15" hidden="false" customHeight="false" outlineLevel="0" collapsed="false">
      <c r="A4" s="2" t="s">
        <v>7</v>
      </c>
      <c r="B4" s="2" t="s">
        <v>13</v>
      </c>
      <c r="C4" s="3" t="n">
        <v>4400</v>
      </c>
      <c r="D4" s="2" t="n">
        <v>21</v>
      </c>
      <c r="E4" s="2" t="s">
        <v>9</v>
      </c>
      <c r="F4" s="2" t="s">
        <v>14</v>
      </c>
      <c r="G4" s="2" t="n">
        <f aca="false">IF(OR(C4="",D4=""),"",ROUND(C4/(D4+1),0))</f>
        <v>200</v>
      </c>
    </row>
    <row r="5" customFormat="false" ht="15" hidden="false" customHeight="false" outlineLevel="0" collapsed="false">
      <c r="A5" s="2" t="s">
        <v>7</v>
      </c>
      <c r="B5" s="2" t="s">
        <v>15</v>
      </c>
      <c r="C5" s="3" t="n">
        <v>1600</v>
      </c>
      <c r="D5" s="2" t="n">
        <v>3</v>
      </c>
      <c r="E5" s="2" t="s">
        <v>9</v>
      </c>
      <c r="F5" s="2" t="s">
        <v>16</v>
      </c>
      <c r="G5" s="2" t="n">
        <f aca="false">IF(OR(C5="",D5=""),"",ROUND(C5/(D5+1),0))</f>
        <v>400</v>
      </c>
    </row>
    <row r="6" customFormat="false" ht="15" hidden="false" customHeight="false" outlineLevel="0" collapsed="false">
      <c r="A6" s="2" t="s">
        <v>7</v>
      </c>
      <c r="B6" s="2" t="s">
        <v>17</v>
      </c>
      <c r="C6" s="3" t="n">
        <v>260</v>
      </c>
      <c r="D6" s="2" t="n">
        <v>0</v>
      </c>
      <c r="E6" s="2" t="s">
        <v>9</v>
      </c>
      <c r="F6" s="2" t="s">
        <v>16</v>
      </c>
      <c r="G6" s="2" t="n">
        <f aca="false">IF(OR(C6="",D6=""),"",ROUND(C6/(D6+1),0))</f>
        <v>260</v>
      </c>
    </row>
    <row r="7" customFormat="false" ht="15" hidden="false" customHeight="false" outlineLevel="0" collapsed="false">
      <c r="A7" s="2" t="s">
        <v>18</v>
      </c>
      <c r="B7" s="2" t="s">
        <v>19</v>
      </c>
      <c r="C7" s="3" t="n">
        <v>22200</v>
      </c>
      <c r="D7" s="2" t="n">
        <v>24</v>
      </c>
      <c r="E7" s="2" t="s">
        <v>9</v>
      </c>
      <c r="F7" s="2" t="s">
        <v>20</v>
      </c>
      <c r="G7" s="2" t="n">
        <f aca="false">IF(OR(C7="",D7=""),"",ROUND(C7/(D7+1),0))</f>
        <v>888</v>
      </c>
    </row>
    <row r="8" customFormat="false" ht="15" hidden="false" customHeight="false" outlineLevel="0" collapsed="false">
      <c r="A8" s="2" t="s">
        <v>18</v>
      </c>
      <c r="B8" s="2" t="s">
        <v>21</v>
      </c>
      <c r="C8" s="3" t="n">
        <v>22200</v>
      </c>
      <c r="D8" s="2" t="n">
        <v>37</v>
      </c>
      <c r="E8" s="2" t="s">
        <v>9</v>
      </c>
      <c r="F8" s="2" t="s">
        <v>20</v>
      </c>
      <c r="G8" s="2" t="n">
        <f aca="false">IF(OR(C8="",D8=""),"",ROUND(C8/(D8+1),0))</f>
        <v>584</v>
      </c>
    </row>
    <row r="9" customFormat="false" ht="15" hidden="false" customHeight="false" outlineLevel="0" collapsed="false">
      <c r="A9" s="2" t="s">
        <v>18</v>
      </c>
      <c r="B9" s="2" t="s">
        <v>22</v>
      </c>
      <c r="C9" s="3" t="n">
        <v>40500</v>
      </c>
      <c r="D9" s="2" t="n">
        <v>9</v>
      </c>
      <c r="E9" s="2" t="s">
        <v>9</v>
      </c>
      <c r="F9" s="2" t="s">
        <v>23</v>
      </c>
      <c r="G9" s="2" t="n">
        <f aca="false">IF(OR(C9="",D9=""),"",ROUND(C9/(D9+1),0))</f>
        <v>4050</v>
      </c>
    </row>
    <row r="10" customFormat="false" ht="15" hidden="false" customHeight="false" outlineLevel="0" collapsed="false">
      <c r="A10" s="2" t="s">
        <v>18</v>
      </c>
      <c r="B10" s="2" t="s">
        <v>24</v>
      </c>
      <c r="C10" s="3"/>
      <c r="D10" s="2" t="n">
        <v>17</v>
      </c>
      <c r="E10" s="2" t="s">
        <v>9</v>
      </c>
      <c r="F10" s="2" t="s">
        <v>20</v>
      </c>
      <c r="G10" s="2" t="str">
        <f aca="false">IF(OR(C10="",D10=""),"",ROUND(C10/(D10+1),0))</f>
        <v/>
      </c>
    </row>
    <row r="11" customFormat="false" ht="15" hidden="false" customHeight="false" outlineLevel="0" collapsed="false">
      <c r="A11" s="2" t="s">
        <v>18</v>
      </c>
      <c r="B11" s="2" t="s">
        <v>25</v>
      </c>
      <c r="C11" s="3" t="n">
        <v>2900</v>
      </c>
      <c r="D11" s="2" t="n">
        <v>25</v>
      </c>
      <c r="E11" s="2" t="s">
        <v>9</v>
      </c>
      <c r="F11" s="2" t="s">
        <v>26</v>
      </c>
      <c r="G11" s="2" t="n">
        <f aca="false">IF(OR(C11="",D11=""),"",ROUND(C11/(D11+1),0))</f>
        <v>112</v>
      </c>
    </row>
    <row r="12" customFormat="false" ht="15" hidden="false" customHeight="false" outlineLevel="0" collapsed="false">
      <c r="A12" s="2" t="s">
        <v>18</v>
      </c>
      <c r="B12" s="2" t="s">
        <v>27</v>
      </c>
      <c r="C12" s="3"/>
      <c r="D12" s="2" t="n">
        <v>9</v>
      </c>
      <c r="E12" s="2" t="s">
        <v>9</v>
      </c>
      <c r="F12" s="2" t="s">
        <v>28</v>
      </c>
      <c r="G12" s="2" t="str">
        <f aca="false">IF(OR(C12="",D12=""),"",ROUND(C12/(D12+1),0))</f>
        <v/>
      </c>
    </row>
    <row r="13" customFormat="false" ht="15" hidden="false" customHeight="false" outlineLevel="0" collapsed="false">
      <c r="A13" s="2" t="s">
        <v>18</v>
      </c>
      <c r="B13" s="2" t="s">
        <v>29</v>
      </c>
      <c r="C13" s="3" t="n">
        <v>1000</v>
      </c>
      <c r="D13" s="2" t="n">
        <v>4</v>
      </c>
      <c r="E13" s="2" t="s">
        <v>9</v>
      </c>
      <c r="F13" s="2" t="s">
        <v>30</v>
      </c>
      <c r="G13" s="2" t="n">
        <f aca="false">IF(OR(C13="",D13=""),"",ROUND(C13/(D13+1),0))</f>
        <v>200</v>
      </c>
    </row>
    <row r="14" customFormat="false" ht="15" hidden="false" customHeight="false" outlineLevel="0" collapsed="false">
      <c r="A14" s="2" t="s">
        <v>18</v>
      </c>
      <c r="B14" s="2" t="s">
        <v>31</v>
      </c>
      <c r="C14" s="3" t="n">
        <v>1000</v>
      </c>
      <c r="D14" s="2" t="n">
        <v>11</v>
      </c>
      <c r="E14" s="2" t="s">
        <v>9</v>
      </c>
      <c r="F14" s="2" t="s">
        <v>32</v>
      </c>
      <c r="G14" s="2" t="n">
        <f aca="false">IF(OR(C14="",D14=""),"",ROUND(C14/(D14+1),0))</f>
        <v>83</v>
      </c>
    </row>
    <row r="15" customFormat="false" ht="15" hidden="false" customHeight="false" outlineLevel="0" collapsed="false">
      <c r="A15" s="2" t="s">
        <v>18</v>
      </c>
      <c r="B15" s="2" t="s">
        <v>33</v>
      </c>
      <c r="C15" s="3"/>
      <c r="D15" s="2" t="n">
        <v>9</v>
      </c>
      <c r="E15" s="2" t="s">
        <v>9</v>
      </c>
      <c r="F15" s="2" t="s">
        <v>34</v>
      </c>
      <c r="G15" s="2" t="str">
        <f aca="false">IF(OR(C15="",D15=""),"",ROUND(C15/(D15+1),0))</f>
        <v/>
      </c>
    </row>
    <row r="16" customFormat="false" ht="15" hidden="false" customHeight="false" outlineLevel="0" collapsed="false">
      <c r="A16" s="2" t="s">
        <v>18</v>
      </c>
      <c r="B16" s="2" t="s">
        <v>35</v>
      </c>
      <c r="C16" s="3"/>
      <c r="D16" s="2" t="n">
        <v>14</v>
      </c>
      <c r="E16" s="2" t="s">
        <v>9</v>
      </c>
      <c r="F16" s="2" t="s">
        <v>36</v>
      </c>
      <c r="G16" s="2" t="str">
        <f aca="false">IF(OR(C16="",D16=""),"",ROUND(C16/(D16+1),0))</f>
        <v/>
      </c>
    </row>
    <row r="17" customFormat="false" ht="15" hidden="false" customHeight="false" outlineLevel="0" collapsed="false">
      <c r="A17" s="2" t="s">
        <v>18</v>
      </c>
      <c r="B17" s="2" t="s">
        <v>37</v>
      </c>
      <c r="C17" s="3"/>
      <c r="D17" s="2" t="n">
        <v>4</v>
      </c>
      <c r="E17" s="2" t="s">
        <v>9</v>
      </c>
      <c r="F17" s="2" t="s">
        <v>32</v>
      </c>
      <c r="G17" s="2" t="str">
        <f aca="false">IF(OR(C17="",D17=""),"",ROUND(C17/(D17+1),0))</f>
        <v/>
      </c>
    </row>
    <row r="18" customFormat="false" ht="15" hidden="false" customHeight="false" outlineLevel="0" collapsed="false">
      <c r="A18" s="2" t="s">
        <v>18</v>
      </c>
      <c r="B18" s="2" t="s">
        <v>38</v>
      </c>
      <c r="C18" s="3" t="n">
        <v>720</v>
      </c>
      <c r="D18" s="2" t="n">
        <v>0</v>
      </c>
      <c r="E18" s="2" t="s">
        <v>9</v>
      </c>
      <c r="F18" s="2" t="s">
        <v>32</v>
      </c>
      <c r="G18" s="2" t="n">
        <f aca="false">IF(OR(C18="",D18=""),"",ROUND(C18/(D18+1),0))</f>
        <v>720</v>
      </c>
    </row>
    <row r="19" customFormat="false" ht="15" hidden="false" customHeight="false" outlineLevel="0" collapsed="false">
      <c r="A19" s="2" t="s">
        <v>18</v>
      </c>
      <c r="B19" s="2" t="s">
        <v>39</v>
      </c>
      <c r="C19" s="3" t="n">
        <v>90</v>
      </c>
      <c r="D19" s="2" t="n">
        <v>2</v>
      </c>
      <c r="E19" s="2" t="s">
        <v>9</v>
      </c>
      <c r="F19" s="2" t="s">
        <v>40</v>
      </c>
      <c r="G19" s="2" t="n">
        <f aca="false">IF(OR(C19="",D19=""),"",ROUND(C19/(D19+1),0))</f>
        <v>30</v>
      </c>
    </row>
    <row r="20" customFormat="false" ht="15" hidden="false" customHeight="false" outlineLevel="0" collapsed="false">
      <c r="A20" s="2" t="s">
        <v>41</v>
      </c>
      <c r="B20" s="2" t="s">
        <v>42</v>
      </c>
      <c r="C20" s="3" t="n">
        <v>60500</v>
      </c>
      <c r="D20" s="2" t="n">
        <v>0</v>
      </c>
      <c r="E20" s="2" t="s">
        <v>9</v>
      </c>
      <c r="F20" s="2" t="s">
        <v>43</v>
      </c>
      <c r="G20" s="2" t="n">
        <f aca="false">IF(OR(C20="",D20=""),"",ROUND(C20/(D20+1),0))</f>
        <v>60500</v>
      </c>
    </row>
    <row r="21" customFormat="false" ht="15" hidden="false" customHeight="false" outlineLevel="0" collapsed="false">
      <c r="A21" s="2" t="s">
        <v>41</v>
      </c>
      <c r="B21" s="2" t="s">
        <v>44</v>
      </c>
      <c r="C21" s="3" t="n">
        <v>60500</v>
      </c>
      <c r="D21" s="2" t="n">
        <v>6</v>
      </c>
      <c r="E21" s="2" t="s">
        <v>45</v>
      </c>
      <c r="F21" s="2" t="s">
        <v>43</v>
      </c>
      <c r="G21" s="2" t="n">
        <f aca="false">IF(OR(C21="",D21=""),"",ROUND(C21/(D21+1),0))</f>
        <v>8643</v>
      </c>
    </row>
    <row r="22" customFormat="false" ht="15" hidden="false" customHeight="false" outlineLevel="0" collapsed="false">
      <c r="A22" s="2" t="s">
        <v>41</v>
      </c>
      <c r="B22" s="2" t="s">
        <v>46</v>
      </c>
      <c r="C22" s="3" t="n">
        <v>60500</v>
      </c>
      <c r="D22" s="2" t="n">
        <v>0</v>
      </c>
      <c r="E22" s="2" t="s">
        <v>9</v>
      </c>
      <c r="F22" s="2" t="s">
        <v>43</v>
      </c>
      <c r="G22" s="2" t="n">
        <f aca="false">IF(OR(C22="",D22=""),"",ROUND(C22/(D22+1),0))</f>
        <v>60500</v>
      </c>
    </row>
    <row r="23" customFormat="false" ht="15" hidden="false" customHeight="false" outlineLevel="0" collapsed="false">
      <c r="A23" s="2" t="s">
        <v>41</v>
      </c>
      <c r="B23" s="2" t="s">
        <v>47</v>
      </c>
      <c r="C23" s="3" t="n">
        <v>60500</v>
      </c>
      <c r="D23" s="2" t="n">
        <v>6</v>
      </c>
      <c r="E23" s="2" t="s">
        <v>45</v>
      </c>
      <c r="F23" s="2" t="s">
        <v>43</v>
      </c>
      <c r="G23" s="2" t="n">
        <f aca="false">IF(OR(C23="",D23=""),"",ROUND(C23/(D23+1),0))</f>
        <v>8643</v>
      </c>
    </row>
    <row r="24" customFormat="false" ht="15" hidden="false" customHeight="false" outlineLevel="0" collapsed="false">
      <c r="A24" s="2" t="s">
        <v>41</v>
      </c>
      <c r="B24" s="2" t="s">
        <v>48</v>
      </c>
      <c r="C24" s="3" t="n">
        <v>60500</v>
      </c>
      <c r="D24" s="2" t="n">
        <v>10</v>
      </c>
      <c r="E24" s="2" t="s">
        <v>45</v>
      </c>
      <c r="F24" s="2" t="s">
        <v>43</v>
      </c>
      <c r="G24" s="2" t="n">
        <f aca="false">IF(OR(C24="",D24=""),"",ROUND(C24/(D24+1),0))</f>
        <v>5500</v>
      </c>
    </row>
    <row r="25" customFormat="false" ht="15" hidden="false" customHeight="false" outlineLevel="0" collapsed="false">
      <c r="A25" s="2" t="s">
        <v>41</v>
      </c>
      <c r="B25" s="2" t="s">
        <v>49</v>
      </c>
      <c r="C25" s="3" t="n">
        <v>60500</v>
      </c>
      <c r="D25" s="2" t="n">
        <v>5</v>
      </c>
      <c r="E25" s="2" t="s">
        <v>9</v>
      </c>
      <c r="F25" s="2" t="s">
        <v>50</v>
      </c>
      <c r="G25" s="2" t="n">
        <f aca="false">IF(OR(C25="",D25=""),"",ROUND(C25/(D25+1),0))</f>
        <v>10083</v>
      </c>
    </row>
    <row r="26" customFormat="false" ht="15" hidden="false" customHeight="false" outlineLevel="0" collapsed="false">
      <c r="A26" s="2" t="s">
        <v>41</v>
      </c>
      <c r="B26" s="2" t="s">
        <v>51</v>
      </c>
      <c r="C26" s="3" t="n">
        <v>49500</v>
      </c>
      <c r="D26" s="2" t="n">
        <v>0</v>
      </c>
      <c r="E26" s="2" t="s">
        <v>45</v>
      </c>
      <c r="F26" s="2" t="s">
        <v>52</v>
      </c>
      <c r="G26" s="2" t="n">
        <f aca="false">IF(OR(C26="",D26=""),"",ROUND(C26/(D26+1),0))</f>
        <v>49500</v>
      </c>
    </row>
    <row r="27" customFormat="false" ht="15" hidden="false" customHeight="false" outlineLevel="0" collapsed="false">
      <c r="A27" s="2" t="s">
        <v>41</v>
      </c>
      <c r="B27" s="2" t="s">
        <v>53</v>
      </c>
      <c r="C27" s="3" t="n">
        <v>49500</v>
      </c>
      <c r="D27" s="2" t="n">
        <v>0</v>
      </c>
      <c r="E27" s="2" t="s">
        <v>45</v>
      </c>
      <c r="F27" s="2" t="s">
        <v>32</v>
      </c>
      <c r="G27" s="2" t="n">
        <f aca="false">IF(OR(C27="",D27=""),"",ROUND(C27/(D27+1),0))</f>
        <v>49500</v>
      </c>
    </row>
    <row r="28" customFormat="false" ht="15" hidden="false" customHeight="false" outlineLevel="0" collapsed="false">
      <c r="A28" s="2" t="s">
        <v>41</v>
      </c>
      <c r="B28" s="2" t="s">
        <v>54</v>
      </c>
      <c r="C28" s="3" t="n">
        <v>49500</v>
      </c>
      <c r="D28" s="2" t="n">
        <v>12</v>
      </c>
      <c r="E28" s="2" t="s">
        <v>9</v>
      </c>
      <c r="F28" s="2" t="s">
        <v>55</v>
      </c>
      <c r="G28" s="2" t="n">
        <f aca="false">IF(OR(C28="",D28=""),"",ROUND(C28/(D28+1),0))</f>
        <v>3808</v>
      </c>
    </row>
    <row r="29" customFormat="false" ht="15" hidden="false" customHeight="false" outlineLevel="0" collapsed="false">
      <c r="A29" s="2" t="s">
        <v>41</v>
      </c>
      <c r="B29" s="2" t="s">
        <v>56</v>
      </c>
      <c r="C29" s="3" t="n">
        <v>49500</v>
      </c>
      <c r="D29" s="2" t="n">
        <v>9</v>
      </c>
      <c r="E29" s="2" t="s">
        <v>9</v>
      </c>
      <c r="F29" s="2" t="s">
        <v>55</v>
      </c>
      <c r="G29" s="2" t="n">
        <f aca="false">IF(OR(C29="",D29=""),"",ROUND(C29/(D29+1),0))</f>
        <v>4950</v>
      </c>
    </row>
    <row r="30" customFormat="false" ht="15" hidden="false" customHeight="false" outlineLevel="0" collapsed="false">
      <c r="A30" s="2" t="s">
        <v>41</v>
      </c>
      <c r="B30" s="2" t="s">
        <v>57</v>
      </c>
      <c r="C30" s="3" t="n">
        <v>18100</v>
      </c>
      <c r="D30" s="2" t="n">
        <v>0</v>
      </c>
      <c r="E30" s="2" t="s">
        <v>9</v>
      </c>
      <c r="F30" s="2" t="s">
        <v>32</v>
      </c>
      <c r="G30" s="2" t="n">
        <f aca="false">IF(OR(C30="",D30=""),"",ROUND(C30/(D30+1),0))</f>
        <v>18100</v>
      </c>
    </row>
    <row r="31" customFormat="false" ht="15" hidden="false" customHeight="false" outlineLevel="0" collapsed="false">
      <c r="A31" s="2" t="s">
        <v>41</v>
      </c>
      <c r="B31" s="2" t="s">
        <v>58</v>
      </c>
      <c r="C31" s="3" t="n">
        <v>18100</v>
      </c>
      <c r="D31" s="2" t="n">
        <v>12</v>
      </c>
      <c r="E31" s="2" t="s">
        <v>9</v>
      </c>
      <c r="F31" s="2" t="s">
        <v>32</v>
      </c>
      <c r="G31" s="2" t="n">
        <f aca="false">IF(OR(C31="",D31=""),"",ROUND(C31/(D31+1),0))</f>
        <v>1392</v>
      </c>
    </row>
    <row r="32" customFormat="false" ht="15" hidden="false" customHeight="false" outlineLevel="0" collapsed="false">
      <c r="A32" s="2" t="s">
        <v>41</v>
      </c>
      <c r="B32" s="2" t="s">
        <v>59</v>
      </c>
      <c r="C32" s="3" t="n">
        <v>6600</v>
      </c>
      <c r="D32" s="2" t="n">
        <v>0</v>
      </c>
      <c r="E32" s="2" t="s">
        <v>9</v>
      </c>
      <c r="F32" s="2" t="s">
        <v>60</v>
      </c>
      <c r="G32" s="2" t="n">
        <f aca="false">IF(OR(C32="",D32=""),"",ROUND(C32/(D32+1),0))</f>
        <v>6600</v>
      </c>
    </row>
    <row r="33" customFormat="false" ht="15" hidden="false" customHeight="false" outlineLevel="0" collapsed="false">
      <c r="A33" s="2" t="s">
        <v>41</v>
      </c>
      <c r="B33" s="2" t="s">
        <v>61</v>
      </c>
      <c r="C33" s="3" t="n">
        <v>5400</v>
      </c>
      <c r="D33" s="2" t="n">
        <v>0</v>
      </c>
      <c r="E33" s="2" t="s">
        <v>9</v>
      </c>
      <c r="F33" s="2" t="s">
        <v>60</v>
      </c>
      <c r="G33" s="2" t="n">
        <f aca="false">IF(OR(C33="",D33=""),"",ROUND(C33/(D33+1),0))</f>
        <v>5400</v>
      </c>
    </row>
    <row r="34" customFormat="false" ht="15" hidden="false" customHeight="false" outlineLevel="0" collapsed="false">
      <c r="A34" s="2" t="s">
        <v>62</v>
      </c>
      <c r="B34" s="2" t="s">
        <v>63</v>
      </c>
      <c r="C34" s="3" t="n">
        <v>246000</v>
      </c>
      <c r="D34" s="2" t="n">
        <v>39</v>
      </c>
      <c r="E34" s="2" t="s">
        <v>9</v>
      </c>
      <c r="F34" s="2" t="s">
        <v>64</v>
      </c>
      <c r="G34" s="2" t="n">
        <f aca="false">IF(OR(C34="",D34=""),"",ROUND(C34/(D34+1),0))</f>
        <v>6150</v>
      </c>
    </row>
    <row r="35" customFormat="false" ht="15" hidden="false" customHeight="false" outlineLevel="0" collapsed="false">
      <c r="A35" s="2" t="s">
        <v>62</v>
      </c>
      <c r="B35" s="2" t="s">
        <v>65</v>
      </c>
      <c r="C35" s="3" t="n">
        <v>135000</v>
      </c>
      <c r="D35" s="2" t="n">
        <v>39</v>
      </c>
      <c r="E35" s="2" t="s">
        <v>9</v>
      </c>
      <c r="F35" s="2" t="s">
        <v>64</v>
      </c>
      <c r="G35" s="2" t="n">
        <f aca="false">IF(OR(C35="",D35=""),"",ROUND(C35/(D35+1),0))</f>
        <v>3375</v>
      </c>
    </row>
    <row r="36" customFormat="false" ht="15" hidden="false" customHeight="false" outlineLevel="0" collapsed="false">
      <c r="A36" s="2" t="s">
        <v>62</v>
      </c>
      <c r="B36" s="2" t="s">
        <v>66</v>
      </c>
      <c r="C36" s="3" t="n">
        <v>110000</v>
      </c>
      <c r="D36" s="2" t="n">
        <v>30</v>
      </c>
      <c r="E36" s="2" t="s">
        <v>9</v>
      </c>
      <c r="F36" s="2" t="s">
        <v>64</v>
      </c>
      <c r="G36" s="2" t="n">
        <f aca="false">IF(OR(C36="",D36=""),"",ROUND(C36/(D36+1),0))</f>
        <v>3548</v>
      </c>
    </row>
    <row r="37" customFormat="false" ht="15" hidden="false" customHeight="false" outlineLevel="0" collapsed="false">
      <c r="A37" s="2" t="s">
        <v>62</v>
      </c>
      <c r="B37" s="2" t="s">
        <v>67</v>
      </c>
      <c r="C37" s="3" t="n">
        <v>90500</v>
      </c>
      <c r="D37" s="2" t="n">
        <v>26</v>
      </c>
      <c r="E37" s="2" t="s">
        <v>45</v>
      </c>
      <c r="F37" s="2" t="s">
        <v>64</v>
      </c>
      <c r="G37" s="2" t="n">
        <f aca="false">IF(OR(C37="",D37=""),"",ROUND(C37/(D37+1),0))</f>
        <v>3352</v>
      </c>
    </row>
    <row r="38" customFormat="false" ht="15" hidden="false" customHeight="false" outlineLevel="0" collapsed="false">
      <c r="A38" s="2" t="s">
        <v>62</v>
      </c>
      <c r="B38" s="2" t="s">
        <v>68</v>
      </c>
      <c r="C38" s="3" t="n">
        <v>33100</v>
      </c>
      <c r="D38" s="2" t="n">
        <v>0</v>
      </c>
      <c r="E38" s="2" t="s">
        <v>9</v>
      </c>
      <c r="F38" s="2" t="s">
        <v>69</v>
      </c>
      <c r="G38" s="2" t="n">
        <f aca="false">IF(OR(C38="",D38=""),"",ROUND(C38/(D38+1),0))</f>
        <v>33100</v>
      </c>
    </row>
    <row r="39" customFormat="false" ht="15" hidden="false" customHeight="false" outlineLevel="0" collapsed="false">
      <c r="A39" s="2" t="s">
        <v>62</v>
      </c>
      <c r="B39" s="2" t="s">
        <v>70</v>
      </c>
      <c r="C39" s="3" t="n">
        <v>27100</v>
      </c>
      <c r="D39" s="2" t="n">
        <v>0</v>
      </c>
      <c r="E39" s="2" t="s">
        <v>9</v>
      </c>
      <c r="F39" s="2" t="s">
        <v>69</v>
      </c>
      <c r="G39" s="2" t="n">
        <f aca="false">IF(OR(C39="",D39=""),"",ROUND(C39/(D39+1),0))</f>
        <v>27100</v>
      </c>
    </row>
    <row r="40" customFormat="false" ht="15" hidden="false" customHeight="false" outlineLevel="0" collapsed="false">
      <c r="A40" s="2" t="s">
        <v>62</v>
      </c>
      <c r="B40" s="2" t="s">
        <v>71</v>
      </c>
      <c r="C40" s="3" t="n">
        <v>22200</v>
      </c>
      <c r="D40" s="2" t="n">
        <v>35</v>
      </c>
      <c r="E40" s="2" t="s">
        <v>45</v>
      </c>
      <c r="F40" s="2" t="s">
        <v>72</v>
      </c>
      <c r="G40" s="2" t="n">
        <f aca="false">IF(OR(C40="",D40=""),"",ROUND(C40/(D40+1),0))</f>
        <v>617</v>
      </c>
    </row>
    <row r="41" customFormat="false" ht="15" hidden="false" customHeight="false" outlineLevel="0" collapsed="false">
      <c r="A41" s="2" t="s">
        <v>62</v>
      </c>
      <c r="B41" s="2" t="s">
        <v>73</v>
      </c>
      <c r="C41" s="3" t="n">
        <v>14800</v>
      </c>
      <c r="D41" s="2" t="n">
        <v>3</v>
      </c>
      <c r="E41" s="2" t="s">
        <v>45</v>
      </c>
      <c r="F41" s="2" t="s">
        <v>74</v>
      </c>
      <c r="G41" s="2" t="n">
        <f aca="false">IF(OR(C41="",D41=""),"",ROUND(C41/(D41+1),0))</f>
        <v>3700</v>
      </c>
    </row>
    <row r="42" customFormat="false" ht="15" hidden="false" customHeight="false" outlineLevel="0" collapsed="false">
      <c r="A42" s="2" t="s">
        <v>62</v>
      </c>
      <c r="B42" s="2" t="s">
        <v>75</v>
      </c>
      <c r="C42" s="3" t="n">
        <v>14800</v>
      </c>
      <c r="D42" s="2" t="n">
        <v>6</v>
      </c>
      <c r="E42" s="2" t="s">
        <v>9</v>
      </c>
      <c r="F42" s="2" t="s">
        <v>72</v>
      </c>
      <c r="G42" s="2" t="n">
        <f aca="false">IF(OR(C42="",D42=""),"",ROUND(C42/(D42+1),0))</f>
        <v>2114</v>
      </c>
    </row>
    <row r="43" customFormat="false" ht="15" hidden="false" customHeight="false" outlineLevel="0" collapsed="false">
      <c r="A43" s="2" t="s">
        <v>62</v>
      </c>
      <c r="B43" s="2" t="s">
        <v>76</v>
      </c>
      <c r="C43" s="3" t="n">
        <v>9900</v>
      </c>
      <c r="D43" s="2" t="n">
        <v>3</v>
      </c>
      <c r="E43" s="2" t="s">
        <v>9</v>
      </c>
      <c r="F43" s="2" t="s">
        <v>74</v>
      </c>
      <c r="G43" s="2" t="n">
        <f aca="false">IF(OR(C43="",D43=""),"",ROUND(C43/(D43+1),0))</f>
        <v>2475</v>
      </c>
    </row>
    <row r="44" customFormat="false" ht="15" hidden="false" customHeight="false" outlineLevel="0" collapsed="false">
      <c r="A44" s="2" t="s">
        <v>62</v>
      </c>
      <c r="B44" s="2" t="s">
        <v>77</v>
      </c>
      <c r="C44" s="3" t="n">
        <v>9900</v>
      </c>
      <c r="D44" s="2" t="n">
        <v>10</v>
      </c>
      <c r="E44" s="2" t="s">
        <v>45</v>
      </c>
      <c r="F44" s="2" t="s">
        <v>78</v>
      </c>
      <c r="G44" s="2" t="n">
        <f aca="false">IF(OR(C44="",D44=""),"",ROUND(C44/(D44+1),0))</f>
        <v>900</v>
      </c>
    </row>
    <row r="45" customFormat="false" ht="15" hidden="false" customHeight="false" outlineLevel="0" collapsed="false">
      <c r="A45" s="2" t="s">
        <v>62</v>
      </c>
      <c r="B45" s="2" t="s">
        <v>79</v>
      </c>
      <c r="C45" s="3" t="n">
        <v>6600</v>
      </c>
      <c r="D45" s="2" t="n">
        <v>1</v>
      </c>
      <c r="E45" s="2" t="s">
        <v>45</v>
      </c>
      <c r="F45" s="2" t="s">
        <v>78</v>
      </c>
      <c r="G45" s="2" t="n">
        <f aca="false">IF(OR(C45="",D45=""),"",ROUND(C45/(D45+1),0))</f>
        <v>3300</v>
      </c>
    </row>
    <row r="46" customFormat="false" ht="15" hidden="false" customHeight="false" outlineLevel="0" collapsed="false">
      <c r="A46" s="2" t="s">
        <v>62</v>
      </c>
      <c r="B46" s="2" t="s">
        <v>80</v>
      </c>
      <c r="C46" s="3" t="n">
        <v>3600</v>
      </c>
      <c r="D46" s="2" t="n">
        <v>0</v>
      </c>
      <c r="E46" s="2" t="s">
        <v>9</v>
      </c>
      <c r="F46" s="2" t="s">
        <v>81</v>
      </c>
      <c r="G46" s="2" t="n">
        <f aca="false">IF(OR(C46="",D46=""),"",ROUND(C46/(D46+1),0))</f>
        <v>3600</v>
      </c>
    </row>
    <row r="47" customFormat="false" ht="15" hidden="false" customHeight="false" outlineLevel="0" collapsed="false">
      <c r="A47" s="2" t="s">
        <v>62</v>
      </c>
      <c r="B47" s="2" t="s">
        <v>82</v>
      </c>
      <c r="C47" s="3" t="n">
        <v>1300</v>
      </c>
      <c r="D47" s="2" t="n">
        <v>10</v>
      </c>
      <c r="E47" s="2" t="s">
        <v>9</v>
      </c>
      <c r="F47" s="2" t="s">
        <v>83</v>
      </c>
      <c r="G47" s="2" t="n">
        <f aca="false">IF(OR(C47="",D47=""),"",ROUND(C47/(D47+1),0))</f>
        <v>118</v>
      </c>
    </row>
    <row r="48" customFormat="false" ht="15" hidden="false" customHeight="false" outlineLevel="0" collapsed="false">
      <c r="A48" s="2" t="s">
        <v>62</v>
      </c>
      <c r="B48" s="2" t="s">
        <v>84</v>
      </c>
      <c r="C48" s="3" t="n">
        <v>1000</v>
      </c>
      <c r="D48" s="2" t="n">
        <v>4</v>
      </c>
      <c r="E48" s="2" t="s">
        <v>9</v>
      </c>
      <c r="F48" s="2" t="s">
        <v>85</v>
      </c>
      <c r="G48" s="2" t="n">
        <f aca="false">IF(OR(C48="",D48=""),"",ROUND(C48/(D48+1),0))</f>
        <v>200</v>
      </c>
    </row>
    <row r="49" customFormat="false" ht="15" hidden="false" customHeight="false" outlineLevel="0" collapsed="false">
      <c r="A49" s="2" t="s">
        <v>62</v>
      </c>
      <c r="B49" s="2" t="s">
        <v>86</v>
      </c>
      <c r="C49" s="3" t="n">
        <v>880</v>
      </c>
      <c r="D49" s="2" t="n">
        <v>0</v>
      </c>
      <c r="E49" s="2" t="s">
        <v>9</v>
      </c>
      <c r="F49" s="2" t="s">
        <v>32</v>
      </c>
      <c r="G49" s="2" t="n">
        <f aca="false">IF(OR(C49="",D49=""),"",ROUND(C49/(D49+1),0))</f>
        <v>880</v>
      </c>
    </row>
    <row r="50" customFormat="false" ht="15" hidden="false" customHeight="false" outlineLevel="0" collapsed="false">
      <c r="A50" s="2" t="s">
        <v>62</v>
      </c>
      <c r="B50" s="2" t="s">
        <v>87</v>
      </c>
      <c r="C50" s="3" t="n">
        <v>320</v>
      </c>
      <c r="D50" s="2" t="n">
        <v>0</v>
      </c>
      <c r="E50" s="2" t="s">
        <v>9</v>
      </c>
      <c r="F50" s="2" t="s">
        <v>88</v>
      </c>
      <c r="G50" s="2" t="n">
        <f aca="false">IF(OR(C50="",D50=""),"",ROUND(C50/(D50+1),0))</f>
        <v>320</v>
      </c>
    </row>
    <row r="51" customFormat="false" ht="15" hidden="false" customHeight="false" outlineLevel="0" collapsed="false">
      <c r="A51" s="2" t="s">
        <v>89</v>
      </c>
      <c r="B51" s="2" t="s">
        <v>90</v>
      </c>
      <c r="C51" s="3" t="n">
        <v>14800</v>
      </c>
      <c r="D51" s="2" t="n">
        <v>17</v>
      </c>
      <c r="E51" s="2" t="s">
        <v>9</v>
      </c>
      <c r="F51" s="2" t="s">
        <v>91</v>
      </c>
      <c r="G51" s="2" t="n">
        <f aca="false">IF(OR(C51="",D51=""),"",ROUND(C51/(D51+1),0))</f>
        <v>822</v>
      </c>
    </row>
    <row r="52" customFormat="false" ht="15" hidden="false" customHeight="false" outlineLevel="0" collapsed="false">
      <c r="A52" s="2" t="s">
        <v>89</v>
      </c>
      <c r="B52" s="2" t="s">
        <v>92</v>
      </c>
      <c r="C52" s="3" t="n">
        <v>2400</v>
      </c>
      <c r="D52" s="2" t="n">
        <v>0</v>
      </c>
      <c r="E52" s="2" t="s">
        <v>9</v>
      </c>
      <c r="F52" s="2" t="s">
        <v>91</v>
      </c>
      <c r="G52" s="2" t="n">
        <f aca="false">IF(OR(C52="",D52=""),"",ROUND(C52/(D52+1),0))</f>
        <v>2400</v>
      </c>
    </row>
    <row r="53" customFormat="false" ht="15" hidden="false" customHeight="false" outlineLevel="0" collapsed="false">
      <c r="A53" s="2" t="s">
        <v>89</v>
      </c>
      <c r="B53" s="2" t="s">
        <v>93</v>
      </c>
      <c r="C53" s="3" t="n">
        <v>1600</v>
      </c>
      <c r="D53" s="2" t="n">
        <v>0</v>
      </c>
      <c r="E53" s="2" t="s">
        <v>9</v>
      </c>
      <c r="F53" s="2" t="s">
        <v>94</v>
      </c>
      <c r="G53" s="2" t="n">
        <f aca="false">IF(OR(C53="",D53=""),"",ROUND(C53/(D53+1),0))</f>
        <v>1600</v>
      </c>
    </row>
    <row r="54" customFormat="false" ht="15" hidden="false" customHeight="false" outlineLevel="0" collapsed="false">
      <c r="A54" s="2" t="s">
        <v>89</v>
      </c>
      <c r="B54" s="2" t="s">
        <v>95</v>
      </c>
      <c r="C54" s="3" t="n">
        <v>1000</v>
      </c>
      <c r="D54" s="2" t="n">
        <v>19</v>
      </c>
      <c r="E54" s="2" t="s">
        <v>45</v>
      </c>
      <c r="F54" s="2" t="s">
        <v>78</v>
      </c>
      <c r="G54" s="2" t="n">
        <f aca="false">IF(OR(C54="",D54=""),"",ROUND(C54/(D54+1),0))</f>
        <v>50</v>
      </c>
    </row>
    <row r="55" customFormat="false" ht="15" hidden="false" customHeight="false" outlineLevel="0" collapsed="false">
      <c r="A55" s="2" t="s">
        <v>89</v>
      </c>
      <c r="B55" s="2" t="s">
        <v>96</v>
      </c>
      <c r="C55" s="3" t="n">
        <v>210</v>
      </c>
      <c r="D55" s="2" t="n">
        <v>0</v>
      </c>
      <c r="E55" s="2" t="s">
        <v>9</v>
      </c>
      <c r="F55" s="2" t="s">
        <v>97</v>
      </c>
      <c r="G55" s="2" t="n">
        <f aca="false">IF(OR(C55="",D55=""),"",ROUND(C55/(D55+1),0))</f>
        <v>210</v>
      </c>
    </row>
    <row r="56" customFormat="false" ht="15" hidden="false" customHeight="false" outlineLevel="0" collapsed="false">
      <c r="A56" s="2" t="s">
        <v>89</v>
      </c>
      <c r="B56" s="2" t="s">
        <v>98</v>
      </c>
      <c r="C56" s="3" t="n">
        <v>70</v>
      </c>
      <c r="D56" s="2" t="n">
        <v>7</v>
      </c>
      <c r="E56" s="2" t="s">
        <v>99</v>
      </c>
      <c r="F56" s="2" t="s">
        <v>100</v>
      </c>
      <c r="G56" s="2" t="n">
        <f aca="false">IF(OR(C56="",D56=""),"",ROUND(C56/(D56+1),0))</f>
        <v>9</v>
      </c>
    </row>
    <row r="57" customFormat="false" ht="15" hidden="false" customHeight="false" outlineLevel="0" collapsed="false">
      <c r="A57" s="2" t="s">
        <v>89</v>
      </c>
      <c r="B57" s="2" t="s">
        <v>101</v>
      </c>
      <c r="C57" s="3" t="n">
        <v>50</v>
      </c>
      <c r="D57" s="2" t="n">
        <v>0</v>
      </c>
      <c r="E57" s="2" t="s">
        <v>99</v>
      </c>
      <c r="F57" s="2" t="s">
        <v>100</v>
      </c>
      <c r="G57" s="2" t="n">
        <f aca="false">IF(OR(C57="",D57=""),"",ROUND(C57/(D57+1),0))</f>
        <v>50</v>
      </c>
    </row>
    <row r="58" customFormat="false" ht="15" hidden="false" customHeight="false" outlineLevel="0" collapsed="false">
      <c r="A58" s="2" t="s">
        <v>102</v>
      </c>
      <c r="B58" s="2" t="s">
        <v>103</v>
      </c>
      <c r="C58" s="3" t="n">
        <v>90500</v>
      </c>
      <c r="D58" s="2" t="n">
        <v>29</v>
      </c>
      <c r="E58" s="2" t="s">
        <v>9</v>
      </c>
      <c r="F58" s="2" t="s">
        <v>64</v>
      </c>
      <c r="G58" s="2" t="n">
        <f aca="false">IF(OR(C58="",D58=""),"",ROUND(C58/(D58+1),0))</f>
        <v>3017</v>
      </c>
    </row>
    <row r="59" customFormat="false" ht="15" hidden="false" customHeight="false" outlineLevel="0" collapsed="false">
      <c r="A59" s="2" t="s">
        <v>102</v>
      </c>
      <c r="B59" s="2" t="s">
        <v>104</v>
      </c>
      <c r="C59" s="3" t="n">
        <v>90500</v>
      </c>
      <c r="D59" s="2" t="n">
        <v>49</v>
      </c>
      <c r="E59" s="2" t="s">
        <v>9</v>
      </c>
      <c r="F59" s="2" t="s">
        <v>105</v>
      </c>
      <c r="G59" s="2" t="n">
        <f aca="false">IF(OR(C59="",D59=""),"",ROUND(C59/(D59+1),0))</f>
        <v>1810</v>
      </c>
    </row>
    <row r="60" customFormat="false" ht="15" hidden="false" customHeight="false" outlineLevel="0" collapsed="false">
      <c r="A60" s="2" t="s">
        <v>102</v>
      </c>
      <c r="B60" s="2" t="s">
        <v>106</v>
      </c>
      <c r="C60" s="3" t="n">
        <v>33100</v>
      </c>
      <c r="D60" s="2" t="n">
        <v>30</v>
      </c>
      <c r="E60" s="2" t="s">
        <v>9</v>
      </c>
      <c r="F60" s="2" t="s">
        <v>107</v>
      </c>
      <c r="G60" s="2" t="n">
        <f aca="false">IF(OR(C60="",D60=""),"",ROUND(C60/(D60+1),0))</f>
        <v>1068</v>
      </c>
    </row>
    <row r="61" customFormat="false" ht="15" hidden="false" customHeight="false" outlineLevel="0" collapsed="false">
      <c r="A61" s="2" t="s">
        <v>102</v>
      </c>
      <c r="B61" s="2" t="s">
        <v>108</v>
      </c>
      <c r="C61" s="3"/>
      <c r="D61" s="2" t="n">
        <v>23</v>
      </c>
      <c r="E61" s="2" t="s">
        <v>9</v>
      </c>
      <c r="F61" s="2" t="s">
        <v>109</v>
      </c>
      <c r="G61" s="2" t="str">
        <f aca="false">IF(OR(C61="",D61=""),"",ROUND(C61/(D61+1),0))</f>
        <v/>
      </c>
    </row>
    <row r="62" customFormat="false" ht="15" hidden="false" customHeight="false" outlineLevel="0" collapsed="false">
      <c r="A62" s="2" t="s">
        <v>102</v>
      </c>
      <c r="B62" s="2" t="s">
        <v>110</v>
      </c>
      <c r="C62" s="3"/>
      <c r="D62" s="2" t="n">
        <v>19</v>
      </c>
      <c r="E62" s="2" t="s">
        <v>9</v>
      </c>
      <c r="F62" s="2" t="s">
        <v>109</v>
      </c>
      <c r="G62" s="2" t="str">
        <f aca="false">IF(OR(C62="",D62=""),"",ROUND(C62/(D62+1),0))</f>
        <v/>
      </c>
    </row>
    <row r="63" customFormat="false" ht="15" hidden="false" customHeight="false" outlineLevel="0" collapsed="false">
      <c r="A63" s="2" t="s">
        <v>102</v>
      </c>
      <c r="B63" s="2" t="s">
        <v>111</v>
      </c>
      <c r="C63" s="3" t="n">
        <v>110</v>
      </c>
      <c r="D63" s="2" t="n">
        <v>2</v>
      </c>
      <c r="E63" s="2" t="s">
        <v>9</v>
      </c>
      <c r="F63" s="2" t="s">
        <v>32</v>
      </c>
      <c r="G63" s="2" t="n">
        <f aca="false">IF(OR(C63="",D63=""),"",ROUND(C63/(D63+1),0))</f>
        <v>37</v>
      </c>
    </row>
    <row r="64" customFormat="false" ht="15" hidden="false" customHeight="false" outlineLevel="0" collapsed="false">
      <c r="A64" s="2" t="s">
        <v>102</v>
      </c>
      <c r="B64" s="2" t="s">
        <v>112</v>
      </c>
      <c r="C64" s="3" t="n">
        <v>50</v>
      </c>
      <c r="D64" s="2" t="n">
        <v>20</v>
      </c>
      <c r="E64" s="2" t="s">
        <v>9</v>
      </c>
      <c r="F64" s="2" t="s">
        <v>97</v>
      </c>
      <c r="G64" s="2" t="n">
        <f aca="false">IF(OR(C64="",D64=""),"",ROUND(C64/(D64+1),0))</f>
        <v>2</v>
      </c>
    </row>
    <row r="65" customFormat="false" ht="15" hidden="false" customHeight="false" outlineLevel="0" collapsed="false">
      <c r="A65" s="2" t="s">
        <v>113</v>
      </c>
      <c r="B65" s="2" t="s">
        <v>114</v>
      </c>
      <c r="C65" s="3" t="n">
        <v>201000</v>
      </c>
      <c r="D65" s="2" t="n">
        <v>48</v>
      </c>
      <c r="E65" s="2" t="s">
        <v>9</v>
      </c>
      <c r="F65" s="2" t="s">
        <v>115</v>
      </c>
      <c r="G65" s="2" t="n">
        <f aca="false">IF(OR(C65="",D65=""),"",ROUND(C65/(D65+1),0))</f>
        <v>4102</v>
      </c>
    </row>
    <row r="66" customFormat="false" ht="15" hidden="false" customHeight="false" outlineLevel="0" collapsed="false">
      <c r="A66" s="2" t="s">
        <v>113</v>
      </c>
      <c r="B66" s="2" t="s">
        <v>116</v>
      </c>
      <c r="C66" s="3" t="n">
        <v>12100</v>
      </c>
      <c r="D66" s="2" t="n">
        <v>57</v>
      </c>
      <c r="E66" s="2" t="s">
        <v>9</v>
      </c>
      <c r="F66" s="2" t="s">
        <v>117</v>
      </c>
      <c r="G66" s="2" t="n">
        <f aca="false">IF(OR(C66="",D66=""),"",ROUND(C66/(D66+1),0))</f>
        <v>209</v>
      </c>
    </row>
    <row r="67" customFormat="false" ht="15" hidden="false" customHeight="false" outlineLevel="0" collapsed="false">
      <c r="A67" s="2" t="s">
        <v>113</v>
      </c>
      <c r="B67" s="2" t="s">
        <v>118</v>
      </c>
      <c r="C67" s="3"/>
      <c r="D67" s="2" t="n">
        <v>43</v>
      </c>
      <c r="E67" s="2" t="s">
        <v>9</v>
      </c>
      <c r="F67" s="2" t="s">
        <v>119</v>
      </c>
      <c r="G67" s="2" t="str">
        <f aca="false">IF(OR(C67="",D67=""),"",ROUND(C67/(D67+1),0))</f>
        <v/>
      </c>
    </row>
    <row r="68" customFormat="false" ht="15" hidden="false" customHeight="false" outlineLevel="0" collapsed="false">
      <c r="A68" s="2" t="s">
        <v>113</v>
      </c>
      <c r="B68" s="2" t="s">
        <v>120</v>
      </c>
      <c r="C68" s="3" t="n">
        <v>40500</v>
      </c>
      <c r="D68" s="2" t="n">
        <v>74</v>
      </c>
      <c r="E68" s="2" t="s">
        <v>9</v>
      </c>
      <c r="F68" s="2" t="s">
        <v>121</v>
      </c>
      <c r="G68" s="2" t="n">
        <f aca="false">IF(OR(C68="",D68=""),"",ROUND(C68/(D68+1),0))</f>
        <v>540</v>
      </c>
    </row>
    <row r="69" customFormat="false" ht="15" hidden="false" customHeight="false" outlineLevel="0" collapsed="false">
      <c r="A69" s="2" t="s">
        <v>122</v>
      </c>
      <c r="B69" s="2" t="s">
        <v>123</v>
      </c>
      <c r="C69" s="3" t="n">
        <v>3600</v>
      </c>
      <c r="D69" s="2" t="n">
        <v>12</v>
      </c>
      <c r="E69" s="2" t="s">
        <v>9</v>
      </c>
      <c r="F69" s="2" t="s">
        <v>124</v>
      </c>
      <c r="G69" s="2" t="n">
        <f aca="false">IF(OR(C69="",D69=""),"",ROUND(C69/(D69+1),0))</f>
        <v>277</v>
      </c>
    </row>
    <row r="70" customFormat="false" ht="15" hidden="false" customHeight="false" outlineLevel="0" collapsed="false">
      <c r="A70" s="2" t="s">
        <v>122</v>
      </c>
      <c r="B70" s="2" t="s">
        <v>125</v>
      </c>
      <c r="C70" s="3" t="n">
        <v>1900</v>
      </c>
      <c r="D70" s="2" t="n">
        <v>0</v>
      </c>
      <c r="E70" s="2" t="s">
        <v>9</v>
      </c>
      <c r="F70" s="2" t="s">
        <v>126</v>
      </c>
      <c r="G70" s="2" t="n">
        <f aca="false">IF(OR(C70="",D70=""),"",ROUND(C70/(D70+1),0))</f>
        <v>1900</v>
      </c>
    </row>
    <row r="71" customFormat="false" ht="15" hidden="false" customHeight="false" outlineLevel="0" collapsed="false">
      <c r="A71" s="2" t="s">
        <v>122</v>
      </c>
      <c r="B71" s="2" t="s">
        <v>127</v>
      </c>
      <c r="C71" s="3" t="n">
        <v>720</v>
      </c>
      <c r="D71" s="2" t="n">
        <v>24</v>
      </c>
      <c r="E71" s="2" t="s">
        <v>9</v>
      </c>
      <c r="F71" s="2" t="s">
        <v>124</v>
      </c>
      <c r="G71" s="2" t="n">
        <f aca="false">IF(OR(C71="",D71=""),"",ROUND(C71/(D71+1),0))</f>
        <v>29</v>
      </c>
    </row>
    <row r="72" customFormat="false" ht="15" hidden="false" customHeight="false" outlineLevel="0" collapsed="false">
      <c r="A72" s="2" t="s">
        <v>122</v>
      </c>
      <c r="B72" s="2" t="s">
        <v>128</v>
      </c>
      <c r="C72" s="3" t="n">
        <v>90</v>
      </c>
      <c r="D72" s="2" t="n">
        <v>15</v>
      </c>
      <c r="E72" s="2" t="s">
        <v>9</v>
      </c>
      <c r="F72" s="2" t="s">
        <v>124</v>
      </c>
      <c r="G72" s="2" t="n">
        <f aca="false">IF(OR(C72="",D72=""),"",ROUND(C72/(D72+1),0))</f>
        <v>6</v>
      </c>
    </row>
    <row r="73" customFormat="false" ht="15" hidden="false" customHeight="false" outlineLevel="0" collapsed="false">
      <c r="A73" s="2" t="s">
        <v>122</v>
      </c>
      <c r="B73" s="2" t="s">
        <v>129</v>
      </c>
      <c r="C73" s="3" t="n">
        <v>50</v>
      </c>
      <c r="D73" s="2" t="n">
        <v>0</v>
      </c>
      <c r="E73" s="2" t="s">
        <v>9</v>
      </c>
      <c r="F73" s="2" t="s">
        <v>130</v>
      </c>
      <c r="G73" s="2" t="n">
        <f aca="false">IF(OR(C73="",D73=""),"",ROUND(C73/(D73+1),0))</f>
        <v>50</v>
      </c>
    </row>
    <row r="74" customFormat="false" ht="15" hidden="false" customHeight="false" outlineLevel="0" collapsed="false">
      <c r="A74" s="2" t="s">
        <v>122</v>
      </c>
      <c r="B74" s="2" t="s">
        <v>131</v>
      </c>
      <c r="C74" s="3" t="n">
        <v>20</v>
      </c>
      <c r="D74" s="2" t="n">
        <v>19</v>
      </c>
      <c r="E74" s="2" t="s">
        <v>9</v>
      </c>
      <c r="F74" s="2" t="s">
        <v>78</v>
      </c>
      <c r="G74" s="2" t="n">
        <f aca="false">IF(OR(C74="",D74=""),"",ROUND(C74/(D74+1),0))</f>
        <v>1</v>
      </c>
    </row>
    <row r="75" customFormat="false" ht="15" hidden="false" customHeight="false" outlineLevel="0" collapsed="false">
      <c r="A75" s="2" t="s">
        <v>132</v>
      </c>
      <c r="B75" s="2" t="s">
        <v>133</v>
      </c>
      <c r="C75" s="3" t="n">
        <v>140</v>
      </c>
      <c r="D75" s="2" t="n">
        <v>0</v>
      </c>
      <c r="E75" s="2" t="s">
        <v>9</v>
      </c>
      <c r="F75" s="2" t="s">
        <v>134</v>
      </c>
      <c r="G75" s="2" t="n">
        <f aca="false">IF(OR(C75="",D75=""),"",ROUND(C75/(D75+1),0))</f>
        <v>140</v>
      </c>
    </row>
    <row r="76" customFormat="false" ht="15" hidden="false" customHeight="false" outlineLevel="0" collapsed="false">
      <c r="A76" s="2" t="s">
        <v>132</v>
      </c>
      <c r="B76" s="2" t="s">
        <v>135</v>
      </c>
      <c r="C76" s="3" t="n">
        <v>110</v>
      </c>
      <c r="D76" s="2" t="n">
        <v>0</v>
      </c>
      <c r="E76" s="2" t="s">
        <v>9</v>
      </c>
      <c r="F76" s="2" t="s">
        <v>124</v>
      </c>
      <c r="G76" s="2" t="n">
        <f aca="false">IF(OR(C76="",D76=""),"",ROUND(C76/(D76+1),0))</f>
        <v>110</v>
      </c>
    </row>
    <row r="77" customFormat="false" ht="15" hidden="false" customHeight="false" outlineLevel="0" collapsed="false">
      <c r="A77" s="2" t="s">
        <v>132</v>
      </c>
      <c r="B77" s="2" t="s">
        <v>136</v>
      </c>
      <c r="C77" s="3" t="n">
        <v>50</v>
      </c>
      <c r="D77" s="2" t="n">
        <v>0</v>
      </c>
      <c r="E77" s="2" t="s">
        <v>9</v>
      </c>
      <c r="F77" s="2" t="s">
        <v>124</v>
      </c>
      <c r="G77" s="2" t="n">
        <f aca="false">IF(OR(C77="",D77=""),"",ROUND(C77/(D77+1),0))</f>
        <v>50</v>
      </c>
    </row>
    <row r="78" customFormat="false" ht="15" hidden="false" customHeight="false" outlineLevel="0" collapsed="false">
      <c r="A78" s="2" t="s">
        <v>132</v>
      </c>
      <c r="B78" s="2" t="s">
        <v>137</v>
      </c>
      <c r="C78" s="3" t="n">
        <v>20</v>
      </c>
      <c r="D78" s="2" t="n">
        <v>0</v>
      </c>
      <c r="E78" s="2" t="s">
        <v>9</v>
      </c>
      <c r="F78" s="2" t="s">
        <v>124</v>
      </c>
      <c r="G78" s="2" t="n">
        <f aca="false">IF(OR(C78="",D78=""),"",ROUND(C78/(D78+1),0))</f>
        <v>20</v>
      </c>
    </row>
    <row r="79" customFormat="false" ht="15" hidden="false" customHeight="false" outlineLevel="0" collapsed="false">
      <c r="A79" s="2" t="s">
        <v>132</v>
      </c>
      <c r="B79" s="2" t="s">
        <v>138</v>
      </c>
      <c r="C79" s="3" t="n">
        <v>10</v>
      </c>
      <c r="D79" s="2" t="n">
        <v>1</v>
      </c>
      <c r="E79" s="2" t="s">
        <v>9</v>
      </c>
      <c r="F79" s="2" t="s">
        <v>124</v>
      </c>
      <c r="G79" s="2" t="n">
        <f aca="false">IF(OR(C79="",D79=""),"",ROUND(C79/(D79+1),0))</f>
        <v>5</v>
      </c>
    </row>
    <row r="80" customFormat="false" ht="15" hidden="false" customHeight="false" outlineLevel="0" collapsed="false">
      <c r="A80" s="2" t="s">
        <v>139</v>
      </c>
      <c r="B80" s="2" t="s">
        <v>140</v>
      </c>
      <c r="C80" s="3" t="n">
        <v>60500</v>
      </c>
      <c r="D80" s="2" t="n">
        <v>16</v>
      </c>
      <c r="E80" s="2" t="s">
        <v>45</v>
      </c>
      <c r="F80" s="2" t="s">
        <v>141</v>
      </c>
      <c r="G80" s="2" t="n">
        <f aca="false">IF(OR(C80="",D80=""),"",ROUND(C80/(D80+1),0))</f>
        <v>3559</v>
      </c>
    </row>
    <row r="81" customFormat="false" ht="15" hidden="false" customHeight="false" outlineLevel="0" collapsed="false">
      <c r="A81" s="2" t="s">
        <v>139</v>
      </c>
      <c r="B81" s="2" t="s">
        <v>51</v>
      </c>
      <c r="C81" s="3" t="n">
        <v>49500</v>
      </c>
      <c r="D81" s="2" t="n">
        <v>0</v>
      </c>
      <c r="E81" s="2" t="s">
        <v>45</v>
      </c>
      <c r="F81" s="2" t="s">
        <v>60</v>
      </c>
      <c r="G81" s="2" t="n">
        <f aca="false">IF(OR(C81="",D81=""),"",ROUND(C81/(D81+1),0))</f>
        <v>49500</v>
      </c>
    </row>
    <row r="82" customFormat="false" ht="15" hidden="false" customHeight="false" outlineLevel="0" collapsed="false">
      <c r="A82" s="2" t="s">
        <v>139</v>
      </c>
      <c r="B82" s="2" t="s">
        <v>142</v>
      </c>
      <c r="C82" s="3" t="n">
        <v>3600</v>
      </c>
      <c r="D82" s="2" t="n">
        <v>0</v>
      </c>
      <c r="E82" s="2" t="s">
        <v>9</v>
      </c>
      <c r="F82" s="2" t="s">
        <v>143</v>
      </c>
      <c r="G82" s="2" t="n">
        <f aca="false">IF(OR(C82="",D82=""),"",ROUND(C82/(D82+1),0))</f>
        <v>3600</v>
      </c>
    </row>
    <row r="83" customFormat="false" ht="15" hidden="false" customHeight="false" outlineLevel="0" collapsed="false">
      <c r="A83" s="2" t="s">
        <v>139</v>
      </c>
      <c r="B83" s="2" t="s">
        <v>144</v>
      </c>
      <c r="C83" s="3" t="n">
        <v>390</v>
      </c>
      <c r="D83" s="2" t="n">
        <v>0</v>
      </c>
      <c r="E83" s="2" t="s">
        <v>9</v>
      </c>
      <c r="F83" s="2" t="s">
        <v>32</v>
      </c>
      <c r="G83" s="2" t="n">
        <f aca="false">IF(OR(C83="",D83=""),"",ROUND(C83/(D83+1),0))</f>
        <v>390</v>
      </c>
    </row>
    <row r="84" customFormat="false" ht="15" hidden="false" customHeight="false" outlineLevel="0" collapsed="false">
      <c r="A84" s="2" t="s">
        <v>139</v>
      </c>
      <c r="B84" s="2" t="s">
        <v>145</v>
      </c>
      <c r="C84" s="3" t="n">
        <v>110</v>
      </c>
      <c r="D84" s="2" t="n">
        <v>0</v>
      </c>
      <c r="E84" s="2" t="s">
        <v>9</v>
      </c>
      <c r="F84" s="2" t="s">
        <v>32</v>
      </c>
      <c r="G84" s="2" t="n">
        <f aca="false">IF(OR(C84="",D84=""),"",ROUND(C84/(D84+1),0))</f>
        <v>110</v>
      </c>
    </row>
    <row r="85" customFormat="false" ht="15" hidden="false" customHeight="false" outlineLevel="0" collapsed="false">
      <c r="A85" s="2" t="s">
        <v>146</v>
      </c>
      <c r="B85" s="2" t="s">
        <v>142</v>
      </c>
      <c r="C85" s="3" t="n">
        <v>3600</v>
      </c>
      <c r="D85" s="2" t="n">
        <v>0</v>
      </c>
      <c r="E85" s="2" t="s">
        <v>9</v>
      </c>
      <c r="F85" s="2" t="s">
        <v>147</v>
      </c>
      <c r="G85" s="2" t="n">
        <f aca="false">IF(OR(C85="",D85=""),"",ROUND(C85/(D85+1),0))</f>
        <v>3600</v>
      </c>
    </row>
    <row r="86" customFormat="false" ht="15" hidden="false" customHeight="false" outlineLevel="0" collapsed="false">
      <c r="A86" s="2" t="s">
        <v>146</v>
      </c>
      <c r="B86" s="2" t="s">
        <v>38</v>
      </c>
      <c r="C86" s="3" t="n">
        <v>720</v>
      </c>
      <c r="D86" s="2" t="n">
        <v>0</v>
      </c>
      <c r="E86" s="2" t="s">
        <v>9</v>
      </c>
      <c r="F86" s="2" t="s">
        <v>148</v>
      </c>
      <c r="G86" s="2" t="n">
        <f aca="false">IF(OR(C86="",D86=""),"",ROUND(C86/(D86+1),0))</f>
        <v>720</v>
      </c>
    </row>
    <row r="87" customFormat="false" ht="15" hidden="false" customHeight="false" outlineLevel="0" collapsed="false">
      <c r="A87" s="2" t="s">
        <v>146</v>
      </c>
      <c r="B87" s="2" t="s">
        <v>37</v>
      </c>
      <c r="C87" s="3"/>
      <c r="D87" s="2" t="n">
        <v>4</v>
      </c>
      <c r="E87" s="2" t="s">
        <v>9</v>
      </c>
      <c r="F87" s="2" t="s">
        <v>148</v>
      </c>
      <c r="G87" s="2" t="str">
        <f aca="false">IF(OR(C87="",D87=""),"",ROUND(C87/(D87+1),0))</f>
        <v/>
      </c>
    </row>
    <row r="88" customFormat="false" ht="15" hidden="false" customHeight="false" outlineLevel="0" collapsed="false">
      <c r="A88" s="2" t="s">
        <v>146</v>
      </c>
      <c r="B88" s="2" t="s">
        <v>35</v>
      </c>
      <c r="C88" s="3"/>
      <c r="D88" s="2" t="n">
        <v>14</v>
      </c>
      <c r="E88" s="2" t="s">
        <v>9</v>
      </c>
      <c r="F88" s="2" t="s">
        <v>148</v>
      </c>
      <c r="G88" s="2" t="str">
        <f aca="false">IF(OR(C88="",D88=""),"",ROUND(C88/(D88+1),0))</f>
        <v/>
      </c>
    </row>
    <row r="89" customFormat="false" ht="15" hidden="false" customHeight="false" outlineLevel="0" collapsed="false">
      <c r="A89" s="2" t="s">
        <v>149</v>
      </c>
      <c r="B89" s="2" t="s">
        <v>59</v>
      </c>
      <c r="C89" s="3" t="n">
        <v>6600</v>
      </c>
      <c r="D89" s="2" t="n">
        <v>0</v>
      </c>
      <c r="E89" s="2" t="s">
        <v>9</v>
      </c>
      <c r="F89" s="2" t="s">
        <v>150</v>
      </c>
      <c r="G89" s="2" t="n">
        <f aca="false">IF(OR(C89="",D89=""),"",ROUND(C89/(D89+1),0))</f>
        <v>6600</v>
      </c>
    </row>
    <row r="90" customFormat="false" ht="15" hidden="false" customHeight="false" outlineLevel="0" collapsed="false">
      <c r="A90" s="2" t="s">
        <v>149</v>
      </c>
      <c r="B90" s="2" t="s">
        <v>61</v>
      </c>
      <c r="C90" s="3" t="n">
        <v>5400</v>
      </c>
      <c r="D90" s="2" t="n">
        <v>0</v>
      </c>
      <c r="E90" s="2" t="s">
        <v>9</v>
      </c>
      <c r="F90" s="2" t="s">
        <v>151</v>
      </c>
      <c r="G90" s="2" t="n">
        <f aca="false">IF(OR(C90="",D90=""),"",ROUND(C90/(D90+1),0))</f>
        <v>5400</v>
      </c>
    </row>
    <row r="91" customFormat="false" ht="15" hidden="false" customHeight="false" outlineLevel="0" collapsed="false">
      <c r="A91" s="2" t="s">
        <v>149</v>
      </c>
      <c r="B91" s="2" t="s">
        <v>152</v>
      </c>
      <c r="C91" s="3" t="n">
        <v>40</v>
      </c>
      <c r="D91" s="2" t="n">
        <v>0</v>
      </c>
      <c r="E91" s="2" t="s">
        <v>9</v>
      </c>
      <c r="F91" s="2" t="s">
        <v>153</v>
      </c>
      <c r="G91" s="2" t="n">
        <f aca="false">IF(OR(C91="",D91=""),"",ROUND(C91/(D91+1),0))</f>
        <v>40</v>
      </c>
    </row>
    <row r="92" customFormat="false" ht="15" hidden="false" customHeight="false" outlineLevel="0" collapsed="false">
      <c r="A92" s="2" t="s">
        <v>154</v>
      </c>
      <c r="B92" s="2" t="s">
        <v>155</v>
      </c>
      <c r="C92" s="3" t="n">
        <v>6600</v>
      </c>
      <c r="D92" s="2" t="n">
        <v>12</v>
      </c>
      <c r="E92" s="2" t="s">
        <v>9</v>
      </c>
      <c r="F92" s="2" t="s">
        <v>156</v>
      </c>
      <c r="G92" s="2" t="n">
        <f aca="false">IF(OR(C92="",D92=""),"",ROUND(C92/(D92+1),0))</f>
        <v>508</v>
      </c>
    </row>
    <row r="93" customFormat="false" ht="15" hidden="false" customHeight="false" outlineLevel="0" collapsed="false">
      <c r="A93" s="2" t="s">
        <v>154</v>
      </c>
      <c r="B93" s="2" t="s">
        <v>157</v>
      </c>
      <c r="C93" s="3" t="n">
        <v>6600</v>
      </c>
      <c r="D93" s="2" t="n">
        <v>13</v>
      </c>
      <c r="E93" s="2" t="s">
        <v>9</v>
      </c>
      <c r="F93" s="2" t="s">
        <v>156</v>
      </c>
      <c r="G93" s="2" t="n">
        <f aca="false">IF(OR(C93="",D93=""),"",ROUND(C93/(D93+1),0))</f>
        <v>471</v>
      </c>
    </row>
    <row r="94" customFormat="false" ht="15" hidden="false" customHeight="false" outlineLevel="0" collapsed="false">
      <c r="A94" s="2" t="s">
        <v>154</v>
      </c>
      <c r="B94" s="2" t="s">
        <v>158</v>
      </c>
      <c r="C94" s="3" t="n">
        <v>1600</v>
      </c>
      <c r="D94" s="2" t="n">
        <v>0</v>
      </c>
      <c r="E94" s="2" t="s">
        <v>45</v>
      </c>
      <c r="F94" s="2" t="s">
        <v>159</v>
      </c>
      <c r="G94" s="2" t="n">
        <f aca="false">IF(OR(C94="",D94=""),"",ROUND(C94/(D94+1),0))</f>
        <v>1600</v>
      </c>
    </row>
    <row r="95" customFormat="false" ht="15" hidden="false" customHeight="false" outlineLevel="0" collapsed="false">
      <c r="A95" s="2" t="s">
        <v>154</v>
      </c>
      <c r="B95" s="2" t="s">
        <v>160</v>
      </c>
      <c r="C95" s="3" t="n">
        <v>390</v>
      </c>
      <c r="D95" s="2" t="n">
        <v>0</v>
      </c>
      <c r="E95" s="2" t="s">
        <v>45</v>
      </c>
      <c r="F95" s="2" t="s">
        <v>159</v>
      </c>
      <c r="G95" s="2" t="n">
        <f aca="false">IF(OR(C95="",D95=""),"",ROUND(C95/(D95+1),0))</f>
        <v>390</v>
      </c>
    </row>
    <row r="96" customFormat="false" ht="15" hidden="false" customHeight="false" outlineLevel="0" collapsed="false">
      <c r="A96" s="2" t="s">
        <v>154</v>
      </c>
      <c r="B96" s="2" t="s">
        <v>161</v>
      </c>
      <c r="C96" s="3" t="n">
        <v>210</v>
      </c>
      <c r="D96" s="2" t="n">
        <v>33</v>
      </c>
      <c r="E96" s="2" t="s">
        <v>9</v>
      </c>
      <c r="F96" s="2" t="s">
        <v>78</v>
      </c>
      <c r="G96" s="2" t="n">
        <f aca="false">IF(OR(C96="",D96=""),"",ROUND(C96/(D96+1),0))</f>
        <v>6</v>
      </c>
    </row>
    <row r="97" customFormat="false" ht="15" hidden="false" customHeight="false" outlineLevel="0" collapsed="false">
      <c r="A97" s="2" t="s">
        <v>154</v>
      </c>
      <c r="B97" s="2" t="s">
        <v>162</v>
      </c>
      <c r="C97" s="3" t="n">
        <v>170</v>
      </c>
      <c r="D97" s="2" t="n">
        <v>0</v>
      </c>
      <c r="E97" s="2" t="s">
        <v>9</v>
      </c>
      <c r="F97" s="2" t="s">
        <v>97</v>
      </c>
      <c r="G97" s="2" t="n">
        <f aca="false">IF(OR(C97="",D97=""),"",ROUND(C97/(D97+1),0))</f>
        <v>170</v>
      </c>
    </row>
    <row r="98" customFormat="false" ht="15" hidden="false" customHeight="false" outlineLevel="0" collapsed="false">
      <c r="A98" s="2" t="s">
        <v>154</v>
      </c>
      <c r="B98" s="2" t="s">
        <v>163</v>
      </c>
      <c r="C98" s="3"/>
      <c r="D98" s="2" t="n">
        <v>11</v>
      </c>
      <c r="E98" s="2" t="s">
        <v>9</v>
      </c>
      <c r="F98" s="2" t="s">
        <v>97</v>
      </c>
      <c r="G98" s="2" t="str">
        <f aca="false">IF(OR(C98="",D98=""),"",ROUND(C98/(D98+1),0))</f>
        <v/>
      </c>
    </row>
    <row r="99" customFormat="false" ht="15" hidden="false" customHeight="false" outlineLevel="0" collapsed="false">
      <c r="A99" s="2" t="s">
        <v>154</v>
      </c>
      <c r="B99" s="2" t="s">
        <v>164</v>
      </c>
      <c r="C99" s="3" t="n">
        <v>40</v>
      </c>
      <c r="D99" s="2" t="n">
        <v>0</v>
      </c>
      <c r="E99" s="2" t="s">
        <v>45</v>
      </c>
      <c r="F99" s="2" t="s">
        <v>165</v>
      </c>
      <c r="G99" s="2" t="n">
        <f aca="false">IF(OR(C99="",D99=""),"",ROUND(C99/(D99+1),0))</f>
        <v>40</v>
      </c>
    </row>
    <row r="100" customFormat="false" ht="15" hidden="false" customHeight="false" outlineLevel="0" collapsed="false">
      <c r="A100" s="2" t="s">
        <v>154</v>
      </c>
      <c r="B100" s="2" t="s">
        <v>166</v>
      </c>
      <c r="C100" s="3" t="n">
        <v>40</v>
      </c>
      <c r="D100" s="2" t="n">
        <v>4</v>
      </c>
      <c r="E100" s="2" t="s">
        <v>45</v>
      </c>
      <c r="F100" s="2" t="s">
        <v>165</v>
      </c>
      <c r="G100" s="2" t="n">
        <f aca="false">IF(OR(C100="",D100=""),"",ROUND(C100/(D100+1),0))</f>
        <v>8</v>
      </c>
    </row>
  </sheetData>
  <autoFilter ref="A1:G1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4" t="s">
        <v>167</v>
      </c>
      <c r="B1" s="4" t="s">
        <v>168</v>
      </c>
    </row>
    <row r="2" customFormat="false" ht="23.85" hidden="false" customHeight="false" outlineLevel="0" collapsed="false">
      <c r="A2" s="5" t="s">
        <v>2</v>
      </c>
      <c r="B2" s="5" t="s">
        <v>169</v>
      </c>
    </row>
    <row r="3" customFormat="false" ht="15" hidden="false" customHeight="false" outlineLevel="0" collapsed="false">
      <c r="A3" s="5" t="s">
        <v>170</v>
      </c>
      <c r="B3" s="5" t="s">
        <v>171</v>
      </c>
    </row>
    <row r="4" customFormat="false" ht="23.85" hidden="false" customHeight="false" outlineLevel="0" collapsed="false">
      <c r="A4" s="5" t="s">
        <v>6</v>
      </c>
      <c r="B4" s="5" t="s">
        <v>172</v>
      </c>
    </row>
    <row r="5" customFormat="false" ht="15" hidden="false" customHeight="false" outlineLevel="0" collapsed="false">
      <c r="A5" s="5" t="s">
        <v>5</v>
      </c>
      <c r="B5" s="5" t="s">
        <v>173</v>
      </c>
    </row>
    <row r="6" customFormat="false" ht="15" hidden="false" customHeight="false" outlineLevel="0" collapsed="false">
      <c r="A6" s="5"/>
      <c r="B6" s="5"/>
    </row>
    <row r="7" customFormat="false" ht="15" hidden="false" customHeight="false" outlineLevel="0" collapsed="false">
      <c r="A7" s="5" t="s">
        <v>174</v>
      </c>
      <c r="B7" s="5" t="s">
        <v>175</v>
      </c>
    </row>
    <row r="8" customFormat="false" ht="35.05" hidden="false" customHeight="false" outlineLevel="0" collapsed="false">
      <c r="A8" s="5" t="s">
        <v>176</v>
      </c>
      <c r="B8" s="5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2026-09-13T19:19:19Z</dcterms:created>
  <dc:creator>openpyxl</dc:creator>
  <dc:description/>
  <dc:language>en-US</dc:language>
  <cp:lastModifiedBy/>
  <dcterms:modified xsi:type="dcterms:W3CDTF">2026-09-13T19:19:19Z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